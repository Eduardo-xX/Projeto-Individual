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dusa\OneDrive\Documentos\ZDU\SPTECH ZDU\1° Semestre\Projeto-Individual\Documentos\"/>
    </mc:Choice>
  </mc:AlternateContent>
  <xr:revisionPtr revIDLastSave="0" documentId="13_ncr:1_{1279DF38-A552-4BCE-95B0-7F4DD74F51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klog" sheetId="1" r:id="rId1"/>
  </sheets>
  <definedNames>
    <definedName name="_xlnm._FilterDatabase" localSheetId="0" hidden="1">Backlog!$A$2:$G$44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8" i="1"/>
  <c r="K6" i="1"/>
  <c r="K5" i="1"/>
  <c r="K4" i="1"/>
  <c r="J8" i="1"/>
  <c r="J7" i="1"/>
  <c r="J6" i="1"/>
  <c r="J4" i="1"/>
  <c r="J5" i="1"/>
  <c r="J3" i="1"/>
  <c r="L3" i="1" s="1"/>
  <c r="L4" i="1" s="1"/>
  <c r="L5" i="1" s="1"/>
  <c r="L6" i="1" s="1"/>
  <c r="L7" i="1" s="1"/>
  <c r="L8" i="1" s="1"/>
  <c r="K3" i="1" l="1"/>
  <c r="M3" i="1"/>
  <c r="M4" i="1" s="1"/>
  <c r="M5" i="1" s="1"/>
  <c r="M6" i="1" s="1"/>
  <c r="M7" i="1" s="1"/>
  <c r="M8" i="1" s="1"/>
</calcChain>
</file>

<file path=xl/sharedStrings.xml><?xml version="1.0" encoding="utf-8"?>
<sst xmlns="http://schemas.openxmlformats.org/spreadsheetml/2006/main" count="209" uniqueCount="101">
  <si>
    <t>PRODUCT BACKLOG - ZENLYX</t>
  </si>
  <si>
    <t>Requisito</t>
  </si>
  <si>
    <t>Descrição</t>
  </si>
  <si>
    <t>Classificação</t>
  </si>
  <si>
    <t>Tamanho</t>
  </si>
  <si>
    <t>Fibonacci</t>
  </si>
  <si>
    <t>Prioridade</t>
  </si>
  <si>
    <t>Sprint</t>
  </si>
  <si>
    <t>Importante</t>
  </si>
  <si>
    <t>Documentação.</t>
  </si>
  <si>
    <t>Ferramenta de Gestão.</t>
  </si>
  <si>
    <t>Script do BD.</t>
  </si>
  <si>
    <t>Site Institucional.</t>
  </si>
  <si>
    <t>Jogo.</t>
  </si>
  <si>
    <t>BD na VM.</t>
  </si>
  <si>
    <t>Planejamento.</t>
  </si>
  <si>
    <t>Dashboard.</t>
  </si>
  <si>
    <t>Socioemocional.</t>
  </si>
  <si>
    <t>Utilizar o Github para versionamento e backup, Trello para organização e Excel para organização.</t>
  </si>
  <si>
    <t>Planejar o projeto e detalhar cada requisito para ter uma noção geral do que vai ser feito.</t>
  </si>
  <si>
    <t>Contexto, Objetivo, Justificativa e Escopo (Descrição resumida do projeto, Requisitos do Projeto, Macro Cronograma, Riscos e Restrições, Resultados Esperado, Limites e Exclusões, Recursos Necessários, Partes interessadas (stakeholders)</t>
  </si>
  <si>
    <t>Tela de Cadastro</t>
  </si>
  <si>
    <t>Tela de Login</t>
  </si>
  <si>
    <t>Desenvolver um site falando sobre mim, sobre minhas ideias de criação de jogos e com opções de Login e Cadastro</t>
  </si>
  <si>
    <t>Desenvolver uma tela de Login com Validações e que após o Login, faz para uma tela com meus jogos desenvolvidos</t>
  </si>
  <si>
    <t>Desenvolver uma tela de Cadastro com Validações e que após o Cadastro, vá para tela de Login</t>
  </si>
  <si>
    <t>Diagrama de Negócio</t>
  </si>
  <si>
    <t>Diagrama de Solução Técnica</t>
  </si>
  <si>
    <t>Desenvolver o diagrama de negócio</t>
  </si>
  <si>
    <t>Desenvolver o diagrama de solução técnica</t>
  </si>
  <si>
    <t>Desenvolver uma tela de Dashboard com métricas e KPIS (Possivelmente sendo sobre Status do personagem ou conquistas adquiridas no jogo.</t>
  </si>
  <si>
    <t>Protótipo da Tela de Login</t>
  </si>
  <si>
    <t>Protótipo da Tela de Cadastro</t>
  </si>
  <si>
    <t>Protótipo do Jogo</t>
  </si>
  <si>
    <t>Desenvolver um Protótipo do Site Institucional no Figma</t>
  </si>
  <si>
    <t>Desenvolver um Protótipo da Tela de Login no Figma</t>
  </si>
  <si>
    <t>Desenvolver um Protótipo da Tela de Cadastro no Figma</t>
  </si>
  <si>
    <t>Desenvolver um Protótipo da Tela de Dashboard no Figma</t>
  </si>
  <si>
    <t>Desenvolver um Protótipo do Jogo no Figma</t>
  </si>
  <si>
    <t>Gráficos da Dashboard</t>
  </si>
  <si>
    <t>Kpis/Métricas da Dashboard</t>
  </si>
  <si>
    <t>Desenvolver os Gráficos da Dashboard</t>
  </si>
  <si>
    <t>Desenvolver as Métricas e KPIS da Dashboard</t>
  </si>
  <si>
    <r>
      <t>0º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Você cria seu personagem (Masculino ou Feminino), Skin (inicialmente apenas uma sombra toda preta) ...</t>
    </r>
  </si>
  <si>
    <r>
      <t>1º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Sorteia um elemento (Água, Fogo, Terra, Vento e Raio).</t>
    </r>
  </si>
  <si>
    <r>
      <t>2º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Escolhe uma classe (Guerreiro, Arqueiro, Mago, (Assassino, Tanque ...)).</t>
    </r>
  </si>
  <si>
    <r>
      <t>3º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Aparece um Mini texto explicando a Lore do Jogo ou o que você tem que fazer.</t>
    </r>
  </si>
  <si>
    <r>
      <t>4º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Talvez um tutorial.</t>
    </r>
  </si>
  <si>
    <t>Criação do Personagem</t>
  </si>
  <si>
    <t>Criação de Elementos</t>
  </si>
  <si>
    <t>Criação da Classe</t>
  </si>
  <si>
    <t>Criação da Lore</t>
  </si>
  <si>
    <t>Criação do Tutorial</t>
  </si>
  <si>
    <t>Criação do Nível de Usuário</t>
  </si>
  <si>
    <t>Criação de Inventário</t>
  </si>
  <si>
    <t>Criação de do Sistema de Inimigos básicos</t>
  </si>
  <si>
    <t>Criação de Torres de Inimigos</t>
  </si>
  <si>
    <t>Criação de Bosses</t>
  </si>
  <si>
    <t>Criação de Habilidades/Ataques</t>
  </si>
  <si>
    <t>Desenvolver a Modelagem de dados do Projeto</t>
  </si>
  <si>
    <t>Desenvolver o Script referente a modelagem do Projeto</t>
  </si>
  <si>
    <t>Alocar o Banco de Dados na VM</t>
  </si>
  <si>
    <t>API de Cadastro e Save do Jogo - Web Data Viz</t>
  </si>
  <si>
    <t>Interligar o Cadastro de Usuário e o Save do Jogo com o banco de dados utilizando a API Web Data Viz</t>
  </si>
  <si>
    <t>Criação de Status</t>
  </si>
  <si>
    <t>Criação de Equipamentos</t>
  </si>
  <si>
    <r>
      <t>8º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Sistema de Inventário (para guardar equipamentos e possivelmente Habilidades).</t>
    </r>
  </si>
  <si>
    <r>
      <t>9º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Sistema de Inimigos básicos (dropando EXP e possivelmente equipamentos).</t>
    </r>
  </si>
  <si>
    <r>
      <t>10º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Sistema de Torres (é liberado após um certo nível).</t>
    </r>
  </si>
  <si>
    <r>
      <t>11º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Sistema de Bosses (é liberado após derrotar a torre do boss).</t>
    </r>
  </si>
  <si>
    <r>
      <t>12º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Possivelmente um sistema de Habilidades/Ataques (para ser usado no combate na torre e boss, ou apenas no boss).</t>
    </r>
  </si>
  <si>
    <r>
      <t>6º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Sistema de Status (Dano, Vida, Defesa...).</t>
    </r>
  </si>
  <si>
    <r>
      <t>7º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Sistema de Equipamentos (Bônus de Status).</t>
    </r>
  </si>
  <si>
    <r>
      <t>5º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ptos"/>
        <family val="2"/>
      </rPr>
      <t>Sistema de Nível do Personagem/Conta (Desbloqueia Torres).</t>
    </r>
  </si>
  <si>
    <t>Essencial</t>
  </si>
  <si>
    <t>Desejável</t>
  </si>
  <si>
    <t>M</t>
  </si>
  <si>
    <t>G</t>
  </si>
  <si>
    <t>GG</t>
  </si>
  <si>
    <t>P</t>
  </si>
  <si>
    <t>Desenvolver um Jogo - Tela onde mostra meus jogos concluídos</t>
  </si>
  <si>
    <t>PP</t>
  </si>
  <si>
    <t>Sprint 0</t>
  </si>
  <si>
    <t>Sprint 1</t>
  </si>
  <si>
    <t>Sprint 3</t>
  </si>
  <si>
    <t>Sprint 2</t>
  </si>
  <si>
    <t>Sprint 4</t>
  </si>
  <si>
    <t>Protótipo do Site Institucional.</t>
  </si>
  <si>
    <t>Protótipo da Tela de Dashboard.</t>
  </si>
  <si>
    <t>Preparar a Apresentação</t>
  </si>
  <si>
    <t>Preparar e Treinar para apresentar o projeto para a Banca</t>
  </si>
  <si>
    <t>Pontos Fibonacci</t>
  </si>
  <si>
    <t>Entregue</t>
  </si>
  <si>
    <t>Estimativa da Sprint</t>
  </si>
  <si>
    <t>Desempenho da Sprint</t>
  </si>
  <si>
    <t>Total</t>
  </si>
  <si>
    <t>Tabela de Fibonacci - ZENLYX</t>
  </si>
  <si>
    <t>Modelagem de Dados</t>
  </si>
  <si>
    <t>Identidade Visual do Projeto</t>
  </si>
  <si>
    <t>Criar a identidade visual tanto do site como do jogo</t>
  </si>
  <si>
    <t>Desenvolver uma narrativa coerente do porque o tema (Criação de jogos) é importante para mim.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</si>
</sst>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7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1568E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568E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5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3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0" fillId="6" borderId="1" xfId="0" applyFont="1" applyFill="1" applyBorder="1"/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wrapText="1"/>
    </xf>
    <xf numFmtId="0" fontId="3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wrapText="1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/>
    <xf numFmtId="0" fontId="3" fillId="6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1" fillId="14" borderId="1" xfId="0" applyFont="1" applyFill="1" applyBorder="1"/>
    <xf numFmtId="0" fontId="1" fillId="15" borderId="1" xfId="0" applyFont="1" applyFill="1" applyBorder="1"/>
    <xf numFmtId="0" fontId="1" fillId="15" borderId="1" xfId="0" applyFont="1" applyFill="1" applyBorder="1" applyAlignment="1">
      <alignment horizontal="left"/>
    </xf>
    <xf numFmtId="0" fontId="6" fillId="10" borderId="2" xfId="0" applyFont="1" applyFill="1" applyBorder="1" applyAlignment="1">
      <alignment horizontal="center"/>
    </xf>
    <xf numFmtId="0" fontId="6" fillId="10" borderId="2" xfId="0" applyFont="1" applyFill="1" applyBorder="1" applyAlignment="1"/>
    <xf numFmtId="0" fontId="6" fillId="10" borderId="4" xfId="0" applyFont="1" applyFill="1" applyBorder="1" applyAlignment="1"/>
    <xf numFmtId="0" fontId="6" fillId="9" borderId="3" xfId="0" applyFont="1" applyFill="1" applyBorder="1" applyAlignment="1">
      <alignment horizontal="center"/>
    </xf>
    <xf numFmtId="0" fontId="6" fillId="9" borderId="3" xfId="0" applyFont="1" applyFill="1" applyBorder="1" applyAlignment="1"/>
    <xf numFmtId="0" fontId="6" fillId="9" borderId="2" xfId="0" applyFont="1" applyFill="1" applyBorder="1" applyAlignment="1"/>
    <xf numFmtId="0" fontId="6" fillId="9" borderId="4" xfId="0" applyFont="1" applyFill="1" applyBorder="1" applyAlignment="1"/>
    <xf numFmtId="0" fontId="6" fillId="11" borderId="2" xfId="0" applyFont="1" applyFill="1" applyBorder="1" applyAlignment="1">
      <alignment horizontal="center"/>
    </xf>
    <xf numFmtId="0" fontId="6" fillId="11" borderId="3" xfId="0" applyFont="1" applyFill="1" applyBorder="1" applyAlignment="1"/>
    <xf numFmtId="0" fontId="6" fillId="11" borderId="2" xfId="0" applyFont="1" applyFill="1" applyBorder="1" applyAlignment="1"/>
    <xf numFmtId="0" fontId="6" fillId="11" borderId="4" xfId="0" applyFont="1" applyFill="1" applyBorder="1" applyAlignment="1"/>
    <xf numFmtId="0" fontId="6" fillId="12" borderId="2" xfId="0" applyFont="1" applyFill="1" applyBorder="1" applyAlignment="1">
      <alignment horizontal="center"/>
    </xf>
    <xf numFmtId="0" fontId="6" fillId="12" borderId="3" xfId="0" applyFont="1" applyFill="1" applyBorder="1" applyAlignment="1"/>
    <xf numFmtId="0" fontId="6" fillId="12" borderId="2" xfId="0" applyFont="1" applyFill="1" applyBorder="1" applyAlignment="1"/>
    <xf numFmtId="0" fontId="6" fillId="12" borderId="4" xfId="0" applyFont="1" applyFill="1" applyBorder="1" applyAlignment="1"/>
    <xf numFmtId="0" fontId="6" fillId="13" borderId="2" xfId="0" applyFont="1" applyFill="1" applyBorder="1" applyAlignment="1">
      <alignment horizontal="center"/>
    </xf>
    <xf numFmtId="0" fontId="6" fillId="13" borderId="3" xfId="0" applyFont="1" applyFill="1" applyBorder="1" applyAlignment="1"/>
    <xf numFmtId="0" fontId="6" fillId="13" borderId="2" xfId="0" applyFont="1" applyFill="1" applyBorder="1" applyAlignment="1"/>
    <xf numFmtId="0" fontId="6" fillId="13" borderId="4" xfId="0" applyFont="1" applyFill="1" applyBorder="1" applyAlignment="1"/>
    <xf numFmtId="0" fontId="0" fillId="4" borderId="5" xfId="0" applyFill="1" applyBorder="1"/>
    <xf numFmtId="0" fontId="0" fillId="5" borderId="6" xfId="0" applyFill="1" applyBorder="1" applyAlignment="1">
      <alignment wrapText="1"/>
    </xf>
    <xf numFmtId="0" fontId="0" fillId="5" borderId="5" xfId="0" applyFont="1" applyFill="1" applyBorder="1"/>
    <xf numFmtId="0" fontId="0" fillId="6" borderId="6" xfId="0" applyFont="1" applyFill="1" applyBorder="1"/>
    <xf numFmtId="0" fontId="3" fillId="6" borderId="5" xfId="0" applyFont="1" applyFill="1" applyBorder="1" applyAlignment="1">
      <alignment vertical="center"/>
    </xf>
    <xf numFmtId="0" fontId="0" fillId="8" borderId="6" xfId="0" applyFill="1" applyBorder="1" applyAlignment="1">
      <alignment wrapText="1"/>
    </xf>
    <xf numFmtId="0" fontId="0" fillId="8" borderId="5" xfId="0" applyFill="1" applyBorder="1" applyAlignment="1">
      <alignment wrapText="1"/>
    </xf>
    <xf numFmtId="0" fontId="3" fillId="7" borderId="6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568E1"/>
      <color rgb="FFEF97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de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Backlog!$L$2</c:f>
              <c:strCache>
                <c:ptCount val="1"/>
                <c:pt idx="0">
                  <c:v>Estimativa da Sprint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4D1B-429F-9D06-4F5D6E487225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4D1B-429F-9D06-4F5D6E487225}"/>
              </c:ext>
            </c:extLst>
          </c:dPt>
          <c:cat>
            <c:strRef>
              <c:f>Backlog!$I$3:$I$8</c:f>
              <c:strCache>
                <c:ptCount val="6"/>
                <c:pt idx="0">
                  <c:v>Total</c:v>
                </c:pt>
                <c:pt idx="1">
                  <c:v>Sprint 0</c:v>
                </c:pt>
                <c:pt idx="2">
                  <c:v>Sprint 1</c:v>
                </c:pt>
                <c:pt idx="3">
                  <c:v>Sprint 2</c:v>
                </c:pt>
                <c:pt idx="4">
                  <c:v>Sprint 3</c:v>
                </c:pt>
                <c:pt idx="5">
                  <c:v>Sprint 4</c:v>
                </c:pt>
              </c:strCache>
            </c:strRef>
          </c:cat>
          <c:val>
            <c:numRef>
              <c:f>Backlog!$L$3:$L$8</c:f>
              <c:numCache>
                <c:formatCode>General</c:formatCode>
                <c:ptCount val="6"/>
                <c:pt idx="0">
                  <c:v>328</c:v>
                </c:pt>
                <c:pt idx="1">
                  <c:v>315</c:v>
                </c:pt>
                <c:pt idx="2">
                  <c:v>213</c:v>
                </c:pt>
                <c:pt idx="3">
                  <c:v>158</c:v>
                </c:pt>
                <c:pt idx="4">
                  <c:v>37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5-4290-8518-7D8475199192}"/>
            </c:ext>
          </c:extLst>
        </c:ser>
        <c:ser>
          <c:idx val="1"/>
          <c:order val="1"/>
          <c:tx>
            <c:strRef>
              <c:f>Backlog!$M$2</c:f>
              <c:strCache>
                <c:ptCount val="1"/>
                <c:pt idx="0">
                  <c:v>Desempenho da Sprint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4D1B-429F-9D06-4F5D6E487225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4D1B-429F-9D06-4F5D6E487225}"/>
              </c:ext>
            </c:extLst>
          </c:dPt>
          <c:cat>
            <c:strRef>
              <c:f>Backlog!$I$3:$I$8</c:f>
              <c:strCache>
                <c:ptCount val="6"/>
                <c:pt idx="0">
                  <c:v>Total</c:v>
                </c:pt>
                <c:pt idx="1">
                  <c:v>Sprint 0</c:v>
                </c:pt>
                <c:pt idx="2">
                  <c:v>Sprint 1</c:v>
                </c:pt>
                <c:pt idx="3">
                  <c:v>Sprint 2</c:v>
                </c:pt>
                <c:pt idx="4">
                  <c:v>Sprint 3</c:v>
                </c:pt>
                <c:pt idx="5">
                  <c:v>Sprint 4</c:v>
                </c:pt>
              </c:strCache>
            </c:strRef>
          </c:cat>
          <c:val>
            <c:numRef>
              <c:f>Backlog!$M$3:$M$8</c:f>
              <c:numCache>
                <c:formatCode>General</c:formatCode>
                <c:ptCount val="6"/>
                <c:pt idx="0">
                  <c:v>328</c:v>
                </c:pt>
                <c:pt idx="1">
                  <c:v>315</c:v>
                </c:pt>
                <c:pt idx="2">
                  <c:v>284</c:v>
                </c:pt>
                <c:pt idx="3">
                  <c:v>210</c:v>
                </c:pt>
                <c:pt idx="4">
                  <c:v>134</c:v>
                </c:pt>
                <c:pt idx="5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85-4290-8518-7D8475199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588079"/>
        <c:axId val="1525588559"/>
      </c:lineChart>
      <c:catAx>
        <c:axId val="152558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5588559"/>
        <c:crosses val="autoZero"/>
        <c:auto val="1"/>
        <c:lblAlgn val="ctr"/>
        <c:lblOffset val="100"/>
        <c:noMultiLvlLbl val="0"/>
      </c:catAx>
      <c:valAx>
        <c:axId val="152558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5588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695325</xdr:colOff>
      <xdr:row>9</xdr:row>
      <xdr:rowOff>16668</xdr:rowOff>
    </xdr:from>
    <xdr:to>
      <xdr:col>12</xdr:col>
      <xdr:colOff>685800</xdr:colOff>
      <xdr:row>23</xdr:row>
      <xdr:rowOff>159543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9D7D23-C9BE-9CB1-EC35-568993876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zoomScale="80" zoomScaleNormal="80" workbookViewId="0">
      <selection activeCell="M10" sqref="M10"/>
    </sheetView>
  </sheetViews>
  <sheetFormatPr defaultRowHeight="15" x14ac:dyDescent="0.25"/>
  <cols>
    <col min="1" max="1" width="54.85546875" customWidth="1"/>
    <col min="2" max="2" width="128.7109375" customWidth="1"/>
    <col min="3" max="3" width="13.140625" bestFit="1" customWidth="1"/>
    <col min="4" max="5" width="10.140625" bestFit="1" customWidth="1"/>
    <col min="6" max="6" width="11.28515625" bestFit="1" customWidth="1"/>
    <col min="8" max="8" width="4.7109375" customWidth="1"/>
    <col min="9" max="9" width="14.28515625" customWidth="1"/>
    <col min="10" max="11" width="17.5703125" customWidth="1"/>
    <col min="12" max="12" width="19.28515625" customWidth="1"/>
    <col min="13" max="13" width="21.85546875" customWidth="1"/>
  </cols>
  <sheetData>
    <row r="1" spans="1:13" ht="15.75" x14ac:dyDescent="0.25">
      <c r="A1" s="62" t="s">
        <v>0</v>
      </c>
      <c r="B1" s="62"/>
      <c r="C1" s="62"/>
      <c r="D1" s="62"/>
      <c r="E1" s="62"/>
      <c r="F1" s="62"/>
      <c r="G1" s="62"/>
      <c r="I1" s="61" t="s">
        <v>96</v>
      </c>
      <c r="J1" s="61"/>
      <c r="K1" s="61"/>
      <c r="L1" s="61"/>
      <c r="M1" s="61"/>
    </row>
    <row r="2" spans="1:13" ht="15.7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I2" s="32"/>
      <c r="J2" s="33" t="s">
        <v>91</v>
      </c>
      <c r="K2" s="33" t="s">
        <v>92</v>
      </c>
      <c r="L2" s="33" t="s">
        <v>93</v>
      </c>
      <c r="M2" s="33" t="s">
        <v>94</v>
      </c>
    </row>
    <row r="3" spans="1:13" ht="15.75" x14ac:dyDescent="0.25">
      <c r="A3" s="38"/>
      <c r="B3" s="37" t="s">
        <v>82</v>
      </c>
      <c r="C3" s="39"/>
      <c r="D3" s="39"/>
      <c r="E3" s="39"/>
      <c r="F3" s="39"/>
      <c r="G3" s="40"/>
      <c r="I3" s="31" t="s">
        <v>95</v>
      </c>
      <c r="J3" s="1">
        <f>SUM(E4:E5,E7:E17,E19:E25,E27:E38,E40:E44)</f>
        <v>328</v>
      </c>
      <c r="K3" s="1">
        <f>SUM(K4:K8)</f>
        <v>207</v>
      </c>
      <c r="L3" s="1">
        <f>J3</f>
        <v>328</v>
      </c>
      <c r="M3" s="1">
        <f>J3</f>
        <v>328</v>
      </c>
    </row>
    <row r="4" spans="1:13" ht="15.75" x14ac:dyDescent="0.25">
      <c r="A4" s="26" t="s">
        <v>10</v>
      </c>
      <c r="B4" s="3" t="s">
        <v>18</v>
      </c>
      <c r="C4" s="4" t="s">
        <v>8</v>
      </c>
      <c r="D4" s="5" t="s">
        <v>79</v>
      </c>
      <c r="E4" s="5">
        <v>5</v>
      </c>
      <c r="F4" s="5">
        <v>2</v>
      </c>
      <c r="G4" s="5" t="s">
        <v>82</v>
      </c>
      <c r="I4" s="32" t="s">
        <v>82</v>
      </c>
      <c r="J4" s="1">
        <f>SUM(E4:E5)</f>
        <v>13</v>
      </c>
      <c r="K4" s="1">
        <f>E4+E5</f>
        <v>13</v>
      </c>
      <c r="L4" s="1">
        <f t="shared" ref="L4:M6" si="0">L3-J4</f>
        <v>315</v>
      </c>
      <c r="M4" s="1">
        <f t="shared" si="0"/>
        <v>315</v>
      </c>
    </row>
    <row r="5" spans="1:13" ht="15.75" customHeight="1" x14ac:dyDescent="0.25">
      <c r="A5" s="26" t="s">
        <v>15</v>
      </c>
      <c r="B5" s="53" t="s">
        <v>19</v>
      </c>
      <c r="C5" s="4" t="s">
        <v>8</v>
      </c>
      <c r="D5" s="5" t="s">
        <v>76</v>
      </c>
      <c r="E5" s="5">
        <v>8</v>
      </c>
      <c r="F5" s="5">
        <v>1</v>
      </c>
      <c r="G5" s="5" t="s">
        <v>82</v>
      </c>
      <c r="I5" s="32" t="s">
        <v>83</v>
      </c>
      <c r="J5" s="1">
        <f>SUM(E7:E17)</f>
        <v>102</v>
      </c>
      <c r="K5" s="1">
        <f>E7+E8+E9</f>
        <v>31</v>
      </c>
      <c r="L5" s="1">
        <f t="shared" si="0"/>
        <v>213</v>
      </c>
      <c r="M5" s="1">
        <f t="shared" si="0"/>
        <v>284</v>
      </c>
    </row>
    <row r="6" spans="1:13" ht="15.75" customHeight="1" x14ac:dyDescent="0.25">
      <c r="A6" s="35"/>
      <c r="B6" s="34" t="s">
        <v>83</v>
      </c>
      <c r="C6" s="35"/>
      <c r="D6" s="35"/>
      <c r="E6" s="35"/>
      <c r="F6" s="35"/>
      <c r="G6" s="36"/>
      <c r="I6" s="32" t="s">
        <v>85</v>
      </c>
      <c r="J6" s="1">
        <f>SUM(E19:E25)</f>
        <v>55</v>
      </c>
      <c r="K6" s="1">
        <f>E11+E12+E13+E15+E14+E16+E17+E19+E20</f>
        <v>74</v>
      </c>
      <c r="L6" s="1">
        <f t="shared" si="0"/>
        <v>158</v>
      </c>
      <c r="M6" s="1">
        <f t="shared" si="0"/>
        <v>210</v>
      </c>
    </row>
    <row r="7" spans="1:13" ht="15.75" customHeight="1" x14ac:dyDescent="0.25">
      <c r="A7" s="27" t="s">
        <v>9</v>
      </c>
      <c r="B7" s="54" t="s">
        <v>20</v>
      </c>
      <c r="C7" s="7" t="s">
        <v>74</v>
      </c>
      <c r="D7" s="8" t="s">
        <v>78</v>
      </c>
      <c r="E7" s="8">
        <v>21</v>
      </c>
      <c r="F7" s="8">
        <v>1</v>
      </c>
      <c r="G7" s="8" t="s">
        <v>83</v>
      </c>
      <c r="I7" s="32" t="s">
        <v>84</v>
      </c>
      <c r="J7" s="1">
        <f>SUM(E27:E38)</f>
        <v>121</v>
      </c>
      <c r="K7" s="1">
        <f>E21+E23+E24+E25+E27+E28+E29+E34+E36</f>
        <v>76</v>
      </c>
      <c r="L7" s="1">
        <f>L6-J7</f>
        <v>37</v>
      </c>
      <c r="M7" s="1">
        <f>M6-K7</f>
        <v>134</v>
      </c>
    </row>
    <row r="8" spans="1:13" ht="15.75" x14ac:dyDescent="0.25">
      <c r="A8" s="27" t="s">
        <v>26</v>
      </c>
      <c r="B8" s="6" t="s">
        <v>28</v>
      </c>
      <c r="C8" s="7" t="s">
        <v>8</v>
      </c>
      <c r="D8" s="8" t="s">
        <v>79</v>
      </c>
      <c r="E8" s="8">
        <v>5</v>
      </c>
      <c r="F8" s="8">
        <v>10</v>
      </c>
      <c r="G8" s="8" t="s">
        <v>83</v>
      </c>
      <c r="I8" s="32" t="s">
        <v>86</v>
      </c>
      <c r="J8" s="1">
        <f>SUM(E40:E44)</f>
        <v>37</v>
      </c>
      <c r="K8" s="1">
        <f>E35+E37</f>
        <v>13</v>
      </c>
      <c r="L8" s="1">
        <f>L7-J8</f>
        <v>0</v>
      </c>
      <c r="M8" s="1">
        <f>M7-K8</f>
        <v>121</v>
      </c>
    </row>
    <row r="9" spans="1:13" ht="15.75" x14ac:dyDescent="0.25">
      <c r="A9" s="28" t="s">
        <v>27</v>
      </c>
      <c r="B9" s="6" t="s">
        <v>29</v>
      </c>
      <c r="C9" s="7" t="s">
        <v>8</v>
      </c>
      <c r="D9" s="8" t="s">
        <v>79</v>
      </c>
      <c r="E9" s="8">
        <v>5</v>
      </c>
      <c r="F9" s="8">
        <v>9</v>
      </c>
      <c r="G9" s="8" t="s">
        <v>83</v>
      </c>
    </row>
    <row r="10" spans="1:13" ht="15.75" x14ac:dyDescent="0.25">
      <c r="A10" s="28" t="s">
        <v>17</v>
      </c>
      <c r="B10" s="9" t="s">
        <v>100</v>
      </c>
      <c r="C10" s="7" t="s">
        <v>8</v>
      </c>
      <c r="D10" s="8" t="s">
        <v>77</v>
      </c>
      <c r="E10" s="8">
        <v>13</v>
      </c>
      <c r="F10" s="8">
        <v>2</v>
      </c>
      <c r="G10" s="8" t="s">
        <v>83</v>
      </c>
    </row>
    <row r="11" spans="1:13" ht="15.75" x14ac:dyDescent="0.25">
      <c r="A11" s="28" t="s">
        <v>98</v>
      </c>
      <c r="B11" s="9" t="s">
        <v>99</v>
      </c>
      <c r="C11" s="7" t="s">
        <v>8</v>
      </c>
      <c r="D11" s="8" t="s">
        <v>81</v>
      </c>
      <c r="E11" s="8">
        <v>3</v>
      </c>
      <c r="F11" s="8">
        <v>11</v>
      </c>
      <c r="G11" s="8" t="s">
        <v>83</v>
      </c>
    </row>
    <row r="12" spans="1:13" ht="15.75" x14ac:dyDescent="0.25">
      <c r="A12" s="10" t="s">
        <v>87</v>
      </c>
      <c r="B12" s="6" t="s">
        <v>34</v>
      </c>
      <c r="C12" s="7" t="s">
        <v>8</v>
      </c>
      <c r="D12" s="8" t="s">
        <v>76</v>
      </c>
      <c r="E12" s="8">
        <v>8</v>
      </c>
      <c r="F12" s="8">
        <v>3</v>
      </c>
      <c r="G12" s="8" t="s">
        <v>83</v>
      </c>
    </row>
    <row r="13" spans="1:13" ht="15.75" x14ac:dyDescent="0.25">
      <c r="A13" s="10" t="s">
        <v>31</v>
      </c>
      <c r="B13" s="6" t="s">
        <v>35</v>
      </c>
      <c r="C13" s="7" t="s">
        <v>8</v>
      </c>
      <c r="D13" s="8" t="s">
        <v>79</v>
      </c>
      <c r="E13" s="8">
        <v>5</v>
      </c>
      <c r="F13" s="8">
        <v>4</v>
      </c>
      <c r="G13" s="8" t="s">
        <v>83</v>
      </c>
    </row>
    <row r="14" spans="1:13" ht="15.75" x14ac:dyDescent="0.25">
      <c r="A14" s="10" t="s">
        <v>32</v>
      </c>
      <c r="B14" s="6" t="s">
        <v>36</v>
      </c>
      <c r="C14" s="7" t="s">
        <v>8</v>
      </c>
      <c r="D14" s="8" t="s">
        <v>79</v>
      </c>
      <c r="E14" s="8">
        <v>5</v>
      </c>
      <c r="F14" s="8">
        <v>5</v>
      </c>
      <c r="G14" s="8" t="s">
        <v>83</v>
      </c>
    </row>
    <row r="15" spans="1:13" ht="15.75" x14ac:dyDescent="0.25">
      <c r="A15" s="10" t="s">
        <v>88</v>
      </c>
      <c r="B15" s="6" t="s">
        <v>37</v>
      </c>
      <c r="C15" s="7" t="s">
        <v>8</v>
      </c>
      <c r="D15" s="8" t="s">
        <v>76</v>
      </c>
      <c r="E15" s="8">
        <v>8</v>
      </c>
      <c r="F15" s="8">
        <v>8</v>
      </c>
      <c r="G15" s="8" t="s">
        <v>83</v>
      </c>
    </row>
    <row r="16" spans="1:13" ht="15.75" x14ac:dyDescent="0.25">
      <c r="A16" s="10" t="s">
        <v>33</v>
      </c>
      <c r="B16" s="6" t="s">
        <v>38</v>
      </c>
      <c r="C16" s="7" t="s">
        <v>8</v>
      </c>
      <c r="D16" s="8" t="s">
        <v>76</v>
      </c>
      <c r="E16" s="8">
        <v>8</v>
      </c>
      <c r="F16" s="8">
        <v>7</v>
      </c>
      <c r="G16" s="8" t="s">
        <v>83</v>
      </c>
    </row>
    <row r="17" spans="1:7" ht="15.75" x14ac:dyDescent="0.25">
      <c r="A17" s="28" t="s">
        <v>12</v>
      </c>
      <c r="B17" s="55" t="s">
        <v>23</v>
      </c>
      <c r="C17" s="7" t="s">
        <v>74</v>
      </c>
      <c r="D17" s="8" t="s">
        <v>78</v>
      </c>
      <c r="E17" s="8">
        <v>21</v>
      </c>
      <c r="F17" s="8">
        <v>6</v>
      </c>
      <c r="G17" s="8" t="s">
        <v>83</v>
      </c>
    </row>
    <row r="18" spans="1:7" ht="15.75" customHeight="1" x14ac:dyDescent="0.25">
      <c r="A18" s="42"/>
      <c r="B18" s="41" t="s">
        <v>85</v>
      </c>
      <c r="C18" s="43"/>
      <c r="D18" s="43"/>
      <c r="E18" s="43"/>
      <c r="F18" s="43"/>
      <c r="G18" s="44"/>
    </row>
    <row r="19" spans="1:7" ht="15.75" customHeight="1" x14ac:dyDescent="0.25">
      <c r="A19" s="11" t="s">
        <v>22</v>
      </c>
      <c r="B19" s="56" t="s">
        <v>24</v>
      </c>
      <c r="C19" s="13" t="s">
        <v>74</v>
      </c>
      <c r="D19" s="14" t="s">
        <v>76</v>
      </c>
      <c r="E19" s="14">
        <v>8</v>
      </c>
      <c r="F19" s="14">
        <v>1</v>
      </c>
      <c r="G19" s="14" t="s">
        <v>85</v>
      </c>
    </row>
    <row r="20" spans="1:7" ht="15.75" customHeight="1" x14ac:dyDescent="0.25">
      <c r="A20" s="11" t="s">
        <v>21</v>
      </c>
      <c r="B20" s="12" t="s">
        <v>25</v>
      </c>
      <c r="C20" s="13" t="s">
        <v>74</v>
      </c>
      <c r="D20" s="14" t="s">
        <v>76</v>
      </c>
      <c r="E20" s="14">
        <v>8</v>
      </c>
      <c r="F20" s="14">
        <v>2</v>
      </c>
      <c r="G20" s="14" t="s">
        <v>85</v>
      </c>
    </row>
    <row r="21" spans="1:7" ht="15.75" x14ac:dyDescent="0.25">
      <c r="A21" s="29" t="s">
        <v>13</v>
      </c>
      <c r="B21" s="15" t="s">
        <v>80</v>
      </c>
      <c r="C21" s="13" t="s">
        <v>74</v>
      </c>
      <c r="D21" s="14" t="s">
        <v>76</v>
      </c>
      <c r="E21" s="14">
        <v>8</v>
      </c>
      <c r="F21" s="14">
        <v>3</v>
      </c>
      <c r="G21" s="14" t="s">
        <v>85</v>
      </c>
    </row>
    <row r="22" spans="1:7" ht="15.75" x14ac:dyDescent="0.25">
      <c r="A22" s="11" t="s">
        <v>48</v>
      </c>
      <c r="B22" s="16" t="s">
        <v>43</v>
      </c>
      <c r="C22" s="13" t="s">
        <v>8</v>
      </c>
      <c r="D22" s="14" t="s">
        <v>79</v>
      </c>
      <c r="E22" s="14">
        <v>5</v>
      </c>
      <c r="F22" s="14">
        <v>4</v>
      </c>
      <c r="G22" s="14" t="s">
        <v>85</v>
      </c>
    </row>
    <row r="23" spans="1:7" ht="15.75" x14ac:dyDescent="0.25">
      <c r="A23" s="11" t="s">
        <v>53</v>
      </c>
      <c r="B23" s="16" t="s">
        <v>73</v>
      </c>
      <c r="C23" s="13" t="s">
        <v>74</v>
      </c>
      <c r="D23" s="14" t="s">
        <v>79</v>
      </c>
      <c r="E23" s="14">
        <v>5</v>
      </c>
      <c r="F23" s="14">
        <v>5</v>
      </c>
      <c r="G23" s="14" t="s">
        <v>85</v>
      </c>
    </row>
    <row r="24" spans="1:7" ht="15.75" customHeight="1" x14ac:dyDescent="0.25">
      <c r="A24" s="11" t="s">
        <v>64</v>
      </c>
      <c r="B24" s="16" t="s">
        <v>71</v>
      </c>
      <c r="C24" s="13" t="s">
        <v>74</v>
      </c>
      <c r="D24" s="14" t="s">
        <v>76</v>
      </c>
      <c r="E24" s="14">
        <v>8</v>
      </c>
      <c r="F24" s="14">
        <v>6</v>
      </c>
      <c r="G24" s="14" t="s">
        <v>85</v>
      </c>
    </row>
    <row r="25" spans="1:7" ht="15.75" customHeight="1" x14ac:dyDescent="0.25">
      <c r="A25" s="11" t="s">
        <v>55</v>
      </c>
      <c r="B25" s="57" t="s">
        <v>67</v>
      </c>
      <c r="C25" s="13" t="s">
        <v>74</v>
      </c>
      <c r="D25" s="14" t="s">
        <v>77</v>
      </c>
      <c r="E25" s="14">
        <v>13</v>
      </c>
      <c r="F25" s="14">
        <v>7</v>
      </c>
      <c r="G25" s="14" t="s">
        <v>85</v>
      </c>
    </row>
    <row r="26" spans="1:7" ht="15.75" customHeight="1" x14ac:dyDescent="0.25">
      <c r="A26" s="46"/>
      <c r="B26" s="45" t="s">
        <v>84</v>
      </c>
      <c r="C26" s="47"/>
      <c r="D26" s="47"/>
      <c r="E26" s="47"/>
      <c r="F26" s="47"/>
      <c r="G26" s="48"/>
    </row>
    <row r="27" spans="1:7" ht="15.75" customHeight="1" x14ac:dyDescent="0.25">
      <c r="A27" s="30" t="s">
        <v>16</v>
      </c>
      <c r="B27" s="58" t="s">
        <v>30</v>
      </c>
      <c r="C27" s="22" t="s">
        <v>74</v>
      </c>
      <c r="D27" s="23" t="s">
        <v>77</v>
      </c>
      <c r="E27" s="23">
        <v>13</v>
      </c>
      <c r="F27" s="23">
        <v>4</v>
      </c>
      <c r="G27" s="23" t="s">
        <v>84</v>
      </c>
    </row>
    <row r="28" spans="1:7" ht="15.75" x14ac:dyDescent="0.25">
      <c r="A28" s="24" t="s">
        <v>39</v>
      </c>
      <c r="B28" s="21" t="s">
        <v>41</v>
      </c>
      <c r="C28" s="22" t="s">
        <v>74</v>
      </c>
      <c r="D28" s="23" t="s">
        <v>76</v>
      </c>
      <c r="E28" s="23">
        <v>8</v>
      </c>
      <c r="F28" s="23">
        <v>5</v>
      </c>
      <c r="G28" s="23" t="s">
        <v>84</v>
      </c>
    </row>
    <row r="29" spans="1:7" ht="15.75" x14ac:dyDescent="0.25">
      <c r="A29" s="24" t="s">
        <v>40</v>
      </c>
      <c r="B29" s="21" t="s">
        <v>42</v>
      </c>
      <c r="C29" s="22" t="s">
        <v>74</v>
      </c>
      <c r="D29" s="23" t="s">
        <v>76</v>
      </c>
      <c r="E29" s="23">
        <v>8</v>
      </c>
      <c r="F29" s="23">
        <v>6</v>
      </c>
      <c r="G29" s="23" t="s">
        <v>84</v>
      </c>
    </row>
    <row r="30" spans="1:7" ht="15.75" x14ac:dyDescent="0.25">
      <c r="A30" s="24" t="s">
        <v>65</v>
      </c>
      <c r="B30" s="25" t="s">
        <v>72</v>
      </c>
      <c r="C30" s="22" t="s">
        <v>8</v>
      </c>
      <c r="D30" s="23" t="s">
        <v>76</v>
      </c>
      <c r="E30" s="23">
        <v>8</v>
      </c>
      <c r="F30" s="23">
        <v>8</v>
      </c>
      <c r="G30" s="23" t="s">
        <v>84</v>
      </c>
    </row>
    <row r="31" spans="1:7" ht="15.75" x14ac:dyDescent="0.25">
      <c r="A31" s="24" t="s">
        <v>54</v>
      </c>
      <c r="B31" s="25" t="s">
        <v>66</v>
      </c>
      <c r="C31" s="22" t="s">
        <v>8</v>
      </c>
      <c r="D31" s="23" t="s">
        <v>76</v>
      </c>
      <c r="E31" s="23">
        <v>8</v>
      </c>
      <c r="F31" s="23">
        <v>9</v>
      </c>
      <c r="G31" s="23" t="s">
        <v>84</v>
      </c>
    </row>
    <row r="32" spans="1:7" ht="15.75" x14ac:dyDescent="0.25">
      <c r="A32" s="24" t="s">
        <v>56</v>
      </c>
      <c r="B32" s="25" t="s">
        <v>68</v>
      </c>
      <c r="C32" s="22" t="s">
        <v>8</v>
      </c>
      <c r="D32" s="23" t="s">
        <v>78</v>
      </c>
      <c r="E32" s="23">
        <v>21</v>
      </c>
      <c r="F32" s="23">
        <v>10</v>
      </c>
      <c r="G32" s="23" t="s">
        <v>84</v>
      </c>
    </row>
    <row r="33" spans="1:7" ht="15.75" x14ac:dyDescent="0.25">
      <c r="A33" s="24" t="s">
        <v>57</v>
      </c>
      <c r="B33" s="25" t="s">
        <v>69</v>
      </c>
      <c r="C33" s="22" t="s">
        <v>8</v>
      </c>
      <c r="D33" s="23" t="s">
        <v>78</v>
      </c>
      <c r="E33" s="23">
        <v>21</v>
      </c>
      <c r="F33" s="23">
        <v>11</v>
      </c>
      <c r="G33" s="23" t="s">
        <v>84</v>
      </c>
    </row>
    <row r="34" spans="1:7" ht="15.75" x14ac:dyDescent="0.25">
      <c r="A34" s="30" t="s">
        <v>97</v>
      </c>
      <c r="B34" s="21" t="s">
        <v>59</v>
      </c>
      <c r="C34" s="22" t="s">
        <v>74</v>
      </c>
      <c r="D34" s="23" t="s">
        <v>76</v>
      </c>
      <c r="E34" s="23">
        <v>8</v>
      </c>
      <c r="F34" s="23">
        <v>1</v>
      </c>
      <c r="G34" s="23" t="s">
        <v>84</v>
      </c>
    </row>
    <row r="35" spans="1:7" ht="15.75" x14ac:dyDescent="0.25">
      <c r="A35" s="30" t="s">
        <v>11</v>
      </c>
      <c r="B35" s="21" t="s">
        <v>60</v>
      </c>
      <c r="C35" s="22" t="s">
        <v>74</v>
      </c>
      <c r="D35" s="23" t="s">
        <v>79</v>
      </c>
      <c r="E35" s="23">
        <v>5</v>
      </c>
      <c r="F35" s="23">
        <v>2</v>
      </c>
      <c r="G35" s="23" t="s">
        <v>84</v>
      </c>
    </row>
    <row r="36" spans="1:7" ht="15.75" x14ac:dyDescent="0.25">
      <c r="A36" s="30" t="s">
        <v>14</v>
      </c>
      <c r="B36" s="21" t="s">
        <v>61</v>
      </c>
      <c r="C36" s="22" t="s">
        <v>74</v>
      </c>
      <c r="D36" s="23" t="s">
        <v>79</v>
      </c>
      <c r="E36" s="23">
        <v>5</v>
      </c>
      <c r="F36" s="23">
        <v>3</v>
      </c>
      <c r="G36" s="23" t="s">
        <v>84</v>
      </c>
    </row>
    <row r="37" spans="1:7" ht="15.75" x14ac:dyDescent="0.25">
      <c r="A37" s="24" t="s">
        <v>62</v>
      </c>
      <c r="B37" s="21" t="s">
        <v>63</v>
      </c>
      <c r="C37" s="22" t="s">
        <v>74</v>
      </c>
      <c r="D37" s="23" t="s">
        <v>76</v>
      </c>
      <c r="E37" s="23">
        <v>8</v>
      </c>
      <c r="F37" s="23">
        <v>7</v>
      </c>
      <c r="G37" s="23" t="s">
        <v>84</v>
      </c>
    </row>
    <row r="38" spans="1:7" ht="15.75" x14ac:dyDescent="0.25">
      <c r="A38" s="24" t="s">
        <v>89</v>
      </c>
      <c r="B38" s="59" t="s">
        <v>90</v>
      </c>
      <c r="C38" s="22" t="s">
        <v>74</v>
      </c>
      <c r="D38" s="23" t="s">
        <v>76</v>
      </c>
      <c r="E38" s="23">
        <v>8</v>
      </c>
      <c r="F38" s="23">
        <v>12</v>
      </c>
      <c r="G38" s="23" t="s">
        <v>84</v>
      </c>
    </row>
    <row r="39" spans="1:7" ht="15.75" x14ac:dyDescent="0.25">
      <c r="A39" s="50"/>
      <c r="B39" s="49" t="s">
        <v>86</v>
      </c>
      <c r="C39" s="51"/>
      <c r="D39" s="51"/>
      <c r="E39" s="51"/>
      <c r="F39" s="51"/>
      <c r="G39" s="52"/>
    </row>
    <row r="40" spans="1:7" ht="15.75" x14ac:dyDescent="0.25">
      <c r="A40" s="17" t="s">
        <v>49</v>
      </c>
      <c r="B40" s="60" t="s">
        <v>44</v>
      </c>
      <c r="C40" s="19" t="s">
        <v>75</v>
      </c>
      <c r="D40" s="20" t="s">
        <v>79</v>
      </c>
      <c r="E40" s="20">
        <v>5</v>
      </c>
      <c r="F40" s="20">
        <v>3</v>
      </c>
      <c r="G40" s="20" t="s">
        <v>86</v>
      </c>
    </row>
    <row r="41" spans="1:7" ht="15.75" x14ac:dyDescent="0.25">
      <c r="A41" s="17" t="s">
        <v>50</v>
      </c>
      <c r="B41" s="18" t="s">
        <v>45</v>
      </c>
      <c r="C41" s="19" t="s">
        <v>75</v>
      </c>
      <c r="D41" s="20" t="s">
        <v>79</v>
      </c>
      <c r="E41" s="20">
        <v>5</v>
      </c>
      <c r="F41" s="20">
        <v>4</v>
      </c>
      <c r="G41" s="20" t="s">
        <v>86</v>
      </c>
    </row>
    <row r="42" spans="1:7" ht="15.75" x14ac:dyDescent="0.25">
      <c r="A42" s="17" t="s">
        <v>51</v>
      </c>
      <c r="B42" s="18" t="s">
        <v>46</v>
      </c>
      <c r="C42" s="19" t="s">
        <v>75</v>
      </c>
      <c r="D42" s="20" t="s">
        <v>81</v>
      </c>
      <c r="E42" s="20">
        <v>3</v>
      </c>
      <c r="F42" s="20">
        <v>1</v>
      </c>
      <c r="G42" s="20" t="s">
        <v>86</v>
      </c>
    </row>
    <row r="43" spans="1:7" ht="15.75" x14ac:dyDescent="0.25">
      <c r="A43" s="17" t="s">
        <v>52</v>
      </c>
      <c r="B43" s="18" t="s">
        <v>47</v>
      </c>
      <c r="C43" s="19" t="s">
        <v>75</v>
      </c>
      <c r="D43" s="20" t="s">
        <v>81</v>
      </c>
      <c r="E43" s="20">
        <v>3</v>
      </c>
      <c r="F43" s="20">
        <v>2</v>
      </c>
      <c r="G43" s="20" t="s">
        <v>86</v>
      </c>
    </row>
    <row r="44" spans="1:7" ht="15.75" x14ac:dyDescent="0.25">
      <c r="A44" s="17" t="s">
        <v>58</v>
      </c>
      <c r="B44" s="18" t="s">
        <v>70</v>
      </c>
      <c r="C44" s="19" t="s">
        <v>75</v>
      </c>
      <c r="D44" s="20" t="s">
        <v>78</v>
      </c>
      <c r="E44" s="20">
        <v>21</v>
      </c>
      <c r="F44" s="20">
        <v>5</v>
      </c>
      <c r="G44" s="20" t="s">
        <v>86</v>
      </c>
    </row>
  </sheetData>
  <autoFilter ref="A2:G44" xr:uid="{00000000-0001-0000-0000-000000000000}"/>
  <mergeCells count="2">
    <mergeCell ref="I1:M1"/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Ribeiro</dc:creator>
  <cp:lastModifiedBy>Eduardo Nascimento</cp:lastModifiedBy>
  <dcterms:created xsi:type="dcterms:W3CDTF">2015-06-05T18:19:34Z</dcterms:created>
  <dcterms:modified xsi:type="dcterms:W3CDTF">2025-11-28T02:34:52Z</dcterms:modified>
</cp:coreProperties>
</file>